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6501e925498bcb/Documentos/"/>
    </mc:Choice>
  </mc:AlternateContent>
  <xr:revisionPtr revIDLastSave="217" documentId="8_{E2F42832-FB25-43B7-A4E1-19AC26EE986F}" xr6:coauthVersionLast="47" xr6:coauthVersionMax="47" xr10:uidLastSave="{4EC84D5E-2368-4978-BE8B-09CC2BC61043}"/>
  <bookViews>
    <workbookView xWindow="-120" yWindow="-120" windowWidth="20730" windowHeight="11040" xr2:uid="{0750C089-CB8E-4948-B782-0DB4D43F69DB}"/>
  </bookViews>
  <sheets>
    <sheet name="Pedidos" sheetId="6" r:id="rId1"/>
    <sheet name="Continentes" sheetId="1" r:id="rId2"/>
    <sheet name="Paises" sheetId="2" r:id="rId3"/>
    <sheet name="Departamentos" sheetId="7" r:id="rId4"/>
    <sheet name="Municipios" sheetId="3" r:id="rId5"/>
    <sheet name="Barrio" sheetId="8" r:id="rId6"/>
    <sheet name="Producto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" l="1"/>
  <c r="E5" i="8"/>
  <c r="E4" i="8"/>
  <c r="E3" i="8"/>
  <c r="E2" i="8"/>
  <c r="E2" i="7" l="1"/>
  <c r="E3" i="7"/>
  <c r="E3" i="3"/>
  <c r="E4" i="3"/>
  <c r="E5" i="3"/>
  <c r="E6" i="3"/>
  <c r="E7" i="3"/>
  <c r="E8" i="3"/>
  <c r="E9" i="3"/>
  <c r="E10" i="3"/>
  <c r="E11" i="3"/>
  <c r="E12" i="3"/>
  <c r="E2" i="3"/>
  <c r="E4" i="7"/>
  <c r="E5" i="7"/>
  <c r="E6" i="7"/>
  <c r="E7" i="7"/>
  <c r="E8" i="7"/>
  <c r="E9" i="7"/>
  <c r="E10" i="7"/>
  <c r="E11" i="7"/>
  <c r="D3" i="2"/>
  <c r="D4" i="2"/>
  <c r="D5" i="2"/>
  <c r="D6" i="2"/>
  <c r="D7" i="2"/>
  <c r="D8" i="2"/>
  <c r="D2" i="2"/>
  <c r="G3" i="6"/>
  <c r="G4" i="6"/>
  <c r="G5" i="6"/>
  <c r="G6" i="6"/>
  <c r="G2" i="6"/>
  <c r="E3" i="6"/>
  <c r="E4" i="6"/>
  <c r="E5" i="6"/>
  <c r="E6" i="6"/>
  <c r="E2" i="6"/>
  <c r="C2" i="6"/>
  <c r="C6" i="6"/>
  <c r="C3" i="6"/>
  <c r="C4" i="6"/>
  <c r="C5" i="6"/>
</calcChain>
</file>

<file path=xl/sharedStrings.xml><?xml version="1.0" encoding="utf-8"?>
<sst xmlns="http://schemas.openxmlformats.org/spreadsheetml/2006/main" count="162" uniqueCount="140">
  <si>
    <t>nombre</t>
  </si>
  <si>
    <t>descripcion</t>
  </si>
  <si>
    <t>América</t>
  </si>
  <si>
    <t>Norte, Centro y Suramérica</t>
  </si>
  <si>
    <t>Europa</t>
  </si>
  <si>
    <t>Unión Europea y otros</t>
  </si>
  <si>
    <t>Asia</t>
  </si>
  <si>
    <t>Incluye principales proveedores</t>
  </si>
  <si>
    <t>África</t>
  </si>
  <si>
    <t>Mercado emergente</t>
  </si>
  <si>
    <t>Oceanía</t>
  </si>
  <si>
    <t>Islas y Australia</t>
  </si>
  <si>
    <t>Colombia</t>
  </si>
  <si>
    <t>España</t>
  </si>
  <si>
    <t>México</t>
  </si>
  <si>
    <t>Argentina</t>
  </si>
  <si>
    <t>Francia</t>
  </si>
  <si>
    <t>Japón</t>
  </si>
  <si>
    <t>Egipto</t>
  </si>
  <si>
    <t>id_continente</t>
  </si>
  <si>
    <t>id_pais</t>
  </si>
  <si>
    <t>Bogotá D.C.</t>
  </si>
  <si>
    <t>Distrito Capital</t>
  </si>
  <si>
    <t>Atlántico</t>
  </si>
  <si>
    <t>Región Caribe</t>
  </si>
  <si>
    <t>Madrid</t>
  </si>
  <si>
    <t>Comunidad Capital</t>
  </si>
  <si>
    <t>Barcelona</t>
  </si>
  <si>
    <t>Cataluña</t>
  </si>
  <si>
    <t>Ciudad de México</t>
  </si>
  <si>
    <t>Valle de México</t>
  </si>
  <si>
    <t>Jalisco</t>
  </si>
  <si>
    <t>Región Occidente</t>
  </si>
  <si>
    <t>Tokio</t>
  </si>
  <si>
    <t>Región de Kanto</t>
  </si>
  <si>
    <t>Osaka</t>
  </si>
  <si>
    <t>Región de Kansai</t>
  </si>
  <si>
    <t>id_departamento</t>
  </si>
  <si>
    <t>08</t>
  </si>
  <si>
    <t>09</t>
  </si>
  <si>
    <t>Huila</t>
  </si>
  <si>
    <t>Departamento del Alto Magdalena</t>
  </si>
  <si>
    <t>Medellín</t>
  </si>
  <si>
    <t>Valle de Aburrá</t>
  </si>
  <si>
    <t>Envigado</t>
  </si>
  <si>
    <t>Municipio vecino de Medellín</t>
  </si>
  <si>
    <t>Bogotá</t>
  </si>
  <si>
    <t>Capital de la República</t>
  </si>
  <si>
    <t>Barranquilla</t>
  </si>
  <si>
    <t>Puerta de Oro de Colombia</t>
  </si>
  <si>
    <t>Capital de España</t>
  </si>
  <si>
    <t>Alcaldía Cuauhtémoc</t>
  </si>
  <si>
    <t>Guadalajara</t>
  </si>
  <si>
    <t>Perla Tapatía</t>
  </si>
  <si>
    <t>Shinjuku</t>
  </si>
  <si>
    <t>Distrito comercial de Tokio</t>
  </si>
  <si>
    <t>Shibuya</t>
  </si>
  <si>
    <t>Famoso cruce peatonal</t>
  </si>
  <si>
    <t>Capital Gastronómica</t>
  </si>
  <si>
    <t>id_municipio</t>
  </si>
  <si>
    <t>Neiva</t>
  </si>
  <si>
    <t>Capital Bambuquera de América</t>
  </si>
  <si>
    <t>id_municipios</t>
  </si>
  <si>
    <t>id_departamentos</t>
  </si>
  <si>
    <t>descripción</t>
  </si>
  <si>
    <t>080</t>
  </si>
  <si>
    <t>El Poblado</t>
  </si>
  <si>
    <t>Comuna 14 de Medellín</t>
  </si>
  <si>
    <t>Centro</t>
  </si>
  <si>
    <t>Centro histórico de Neiva</t>
  </si>
  <si>
    <t>Malasaña</t>
  </si>
  <si>
    <t>Barrio bohemio de Madrid</t>
  </si>
  <si>
    <t>Akihabara</t>
  </si>
  <si>
    <t>Distrito electrónico de Tokio</t>
  </si>
  <si>
    <t>Chapinero</t>
  </si>
  <si>
    <t>Localidad 2 de Bogotá</t>
  </si>
  <si>
    <t>id_barrio</t>
  </si>
  <si>
    <t>P01</t>
  </si>
  <si>
    <t>Laptop X</t>
  </si>
  <si>
    <t>Procesador i7, 16GB RAM</t>
  </si>
  <si>
    <t>P02</t>
  </si>
  <si>
    <t>Smartphone Z</t>
  </si>
  <si>
    <t>Pantalla OLED 6.5", 128GB</t>
  </si>
  <si>
    <t>P03</t>
  </si>
  <si>
    <t>Tablet Pro</t>
  </si>
  <si>
    <t>Incluye lápiz óptico</t>
  </si>
  <si>
    <t>P04</t>
  </si>
  <si>
    <t>Monitor 4K</t>
  </si>
  <si>
    <t>27 pulgadas, HDR10</t>
  </si>
  <si>
    <t>P05</t>
  </si>
  <si>
    <t>Cafetera Express</t>
  </si>
  <si>
    <t>Acero inoxidable, 15 bares</t>
  </si>
  <si>
    <t>P06</t>
  </si>
  <si>
    <t>Aspiradora Robot</t>
  </si>
  <si>
    <t>Sensores láser y mapeo</t>
  </si>
  <si>
    <t>P07</t>
  </si>
  <si>
    <t>Juego de Comedor</t>
  </si>
  <si>
    <t>Madera roble, 4 puestos</t>
  </si>
  <si>
    <t>P08</t>
  </si>
  <si>
    <t>Tenis Running</t>
  </si>
  <si>
    <t>Amortiguación gel, talla 40</t>
  </si>
  <si>
    <t>P09</t>
  </si>
  <si>
    <t>Chaqueta Cuero</t>
  </si>
  <si>
    <t>Sintético, color negro</t>
  </si>
  <si>
    <t>P10</t>
  </si>
  <si>
    <t>Reloj Inteligente</t>
  </si>
  <si>
    <t>Resistente al agua, GPS</t>
  </si>
  <si>
    <t>P11</t>
  </si>
  <si>
    <t>Bicicleta de Montaña</t>
  </si>
  <si>
    <t>Marco aluminio, 21 cambios</t>
  </si>
  <si>
    <t>P12</t>
  </si>
  <si>
    <t>Set de Pesas</t>
  </si>
  <si>
    <t>20kg con maletín</t>
  </si>
  <si>
    <t>P13</t>
  </si>
  <si>
    <t>Café Premium</t>
  </si>
  <si>
    <t>Orgánico, molienda media</t>
  </si>
  <si>
    <t>P14</t>
  </si>
  <si>
    <t>Aceite de Oliva</t>
  </si>
  <si>
    <t>Virgen extra, 500ml</t>
  </si>
  <si>
    <t>P15</t>
  </si>
  <si>
    <t>Chocolate Suizo</t>
  </si>
  <si>
    <t>70% Cacao, edición lujo</t>
  </si>
  <si>
    <t>id_producto</t>
  </si>
  <si>
    <t>precio</t>
  </si>
  <si>
    <t>id_pedido</t>
  </si>
  <si>
    <t>id_municipio_origen</t>
  </si>
  <si>
    <t>id_barrio_destino</t>
  </si>
  <si>
    <t>direccion_exacta</t>
  </si>
  <si>
    <t>Calle 10 # 5-20</t>
  </si>
  <si>
    <t>Calle del Pez 12</t>
  </si>
  <si>
    <t>Cra 13 # 63-10</t>
  </si>
  <si>
    <t>Chome-12-3</t>
  </si>
  <si>
    <t>Calle 10 Sur # 43</t>
  </si>
  <si>
    <t>nombre producto</t>
  </si>
  <si>
    <t>nombre municipio</t>
  </si>
  <si>
    <t>nombre barrio</t>
  </si>
  <si>
    <t>nombre continente</t>
  </si>
  <si>
    <t>nombre pais</t>
  </si>
  <si>
    <t>nombre departamento</t>
  </si>
  <si>
    <t>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</si>
</sst>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right" vertical="center" wrapText="1" inden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horizontal="right" vertical="center" wrapText="1" indent="1" readingOrder="1"/>
    </xf>
    <xf numFmtId="0" fontId="1" fillId="0" borderId="0" xfId="0" applyFont="1" applyAlignment="1">
      <alignment vertical="center" wrapText="1" readingOrder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2" xfId="0" applyNumberFormat="1" applyFont="1" applyBorder="1" applyAlignment="1">
      <alignment horizontal="center" vertical="center" wrapText="1" readingOrder="1"/>
    </xf>
    <xf numFmtId="49" fontId="1" fillId="0" borderId="2" xfId="0" applyNumberFormat="1" applyFont="1" applyBorder="1" applyAlignment="1">
      <alignment horizontal="center" vertical="center" wrapText="1" readingOrder="1"/>
    </xf>
    <xf numFmtId="3" fontId="1" fillId="0" borderId="1" xfId="0" applyNumberFormat="1" applyFont="1" applyBorder="1" applyAlignment="1">
      <alignment horizontal="center" vertical="center" wrapText="1" readingOrder="1"/>
    </xf>
    <xf numFmtId="0" fontId="2" fillId="0" borderId="2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7C7E-B280-4CA4-98E0-0C1D0F2933DA}">
  <dimension ref="A1:H6"/>
  <sheetViews>
    <sheetView tabSelected="1" zoomScale="90" zoomScaleNormal="90" workbookViewId="0">
      <selection activeCell="D11" sqref="D11"/>
    </sheetView>
  </sheetViews>
  <sheetFormatPr baseColWidth="10" defaultRowHeight="14.25" x14ac:dyDescent="0.2"/>
  <cols>
    <col min="1" max="1" width="20.28515625" style="18" customWidth="1"/>
    <col min="2" max="2" width="19.28515625" style="18" customWidth="1"/>
    <col min="3" max="3" width="20.85546875" style="18" customWidth="1"/>
    <col min="4" max="5" width="28.85546875" style="18" customWidth="1"/>
    <col min="6" max="7" width="25.85546875" style="18" customWidth="1"/>
    <col min="8" max="8" width="26.140625" style="18" customWidth="1"/>
    <col min="9" max="16384" width="11.42578125" style="18"/>
  </cols>
  <sheetData>
    <row r="1" spans="1:8" ht="15" x14ac:dyDescent="0.2">
      <c r="A1" s="3" t="s">
        <v>124</v>
      </c>
      <c r="B1" s="3" t="s">
        <v>122</v>
      </c>
      <c r="C1" s="3" t="s">
        <v>133</v>
      </c>
      <c r="D1" s="3" t="s">
        <v>125</v>
      </c>
      <c r="E1" s="3" t="s">
        <v>134</v>
      </c>
      <c r="F1" s="3" t="s">
        <v>126</v>
      </c>
      <c r="G1" s="3" t="s">
        <v>135</v>
      </c>
      <c r="H1" s="3" t="s">
        <v>127</v>
      </c>
    </row>
    <row r="2" spans="1:8" x14ac:dyDescent="0.2">
      <c r="A2" s="4">
        <v>101</v>
      </c>
      <c r="B2" s="4" t="s">
        <v>83</v>
      </c>
      <c r="C2" s="15" t="str">
        <f>VLOOKUP(B2, Productos!A:D, 2, FALSE)</f>
        <v>Tablet Pro</v>
      </c>
      <c r="D2" s="4">
        <v>11001</v>
      </c>
      <c r="E2" s="4" t="str">
        <f>VLOOKUP(D2, Municipios!A:B, 2, 0)</f>
        <v>Bogotá</v>
      </c>
      <c r="F2" s="4">
        <v>902</v>
      </c>
      <c r="G2" s="4" t="str">
        <f>VLOOKUP(F2, Barrio!A:B, 2, 0)</f>
        <v>Centro</v>
      </c>
      <c r="H2" s="4" t="s">
        <v>128</v>
      </c>
    </row>
    <row r="3" spans="1:8" x14ac:dyDescent="0.2">
      <c r="A3" s="4">
        <v>102</v>
      </c>
      <c r="B3" s="4" t="s">
        <v>113</v>
      </c>
      <c r="C3" s="15" t="str">
        <f>VLOOKUP(B3, Productos!A:D, 2, FALSE)</f>
        <v>Café Premium</v>
      </c>
      <c r="D3" s="4">
        <v>41001</v>
      </c>
      <c r="E3" s="4" t="str">
        <f>VLOOKUP(D3, Municipios!A:B, 2, 0)</f>
        <v>Neiva</v>
      </c>
      <c r="F3" s="4">
        <v>903</v>
      </c>
      <c r="G3" s="4" t="str">
        <f>VLOOKUP(F3, Barrio!A:B, 2, 0)</f>
        <v>Malasaña</v>
      </c>
      <c r="H3" s="4" t="s">
        <v>129</v>
      </c>
    </row>
    <row r="4" spans="1:8" x14ac:dyDescent="0.2">
      <c r="A4" s="4">
        <v>103</v>
      </c>
      <c r="B4" s="4" t="s">
        <v>107</v>
      </c>
      <c r="C4" s="15" t="str">
        <f>VLOOKUP(B4, Productos!A:D, 2, FALSE)</f>
        <v>Bicicleta de Montaña</v>
      </c>
      <c r="D4" s="4">
        <v>5001</v>
      </c>
      <c r="E4" s="4" t="str">
        <f>VLOOKUP(D4, Municipios!A:B, 2, 0)</f>
        <v>Medellín</v>
      </c>
      <c r="F4" s="4">
        <v>905</v>
      </c>
      <c r="G4" s="4" t="str">
        <f>VLOOKUP(F4, Barrio!A:B, 2, 0)</f>
        <v>Chapinero</v>
      </c>
      <c r="H4" s="4" t="s">
        <v>130</v>
      </c>
    </row>
    <row r="5" spans="1:8" x14ac:dyDescent="0.2">
      <c r="A5" s="4">
        <v>104</v>
      </c>
      <c r="B5" s="4" t="s">
        <v>80</v>
      </c>
      <c r="C5" s="15" t="str">
        <f>VLOOKUP(B5, Productos!A:D, 2, FALSE)</f>
        <v>Smartphone Z</v>
      </c>
      <c r="D5" s="4">
        <v>28001</v>
      </c>
      <c r="E5" s="4" t="str">
        <f>VLOOKUP(D5, Municipios!A:B, 2, 0)</f>
        <v>Madrid</v>
      </c>
      <c r="F5" s="4">
        <v>904</v>
      </c>
      <c r="G5" s="4" t="str">
        <f>VLOOKUP(F5, Barrio!A:B, 2, 0)</f>
        <v>Akihabara</v>
      </c>
      <c r="H5" s="4" t="s">
        <v>131</v>
      </c>
    </row>
    <row r="6" spans="1:8" x14ac:dyDescent="0.2">
      <c r="A6" s="4">
        <v>105</v>
      </c>
      <c r="B6" s="4" t="s">
        <v>119</v>
      </c>
      <c r="C6" s="15" t="str">
        <f>VLOOKUP(B6, Productos!A:D, 2, FALSE)</f>
        <v>Chocolate Suizo</v>
      </c>
      <c r="D6" s="4">
        <v>13001</v>
      </c>
      <c r="E6" s="4" t="str">
        <f>VLOOKUP(D6, Municipios!A:B, 2, 0)</f>
        <v>Shinjuku</v>
      </c>
      <c r="F6" s="4">
        <v>901</v>
      </c>
      <c r="G6" s="4" t="str">
        <f>VLOOKUP(F6, Barrio!A:B, 2, 0)</f>
        <v>El Poblado</v>
      </c>
      <c r="H6" s="4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1001-C54B-405C-9EB0-6DAC6BC02BD7}">
  <dimension ref="A1:C6"/>
  <sheetViews>
    <sheetView workbookViewId="0">
      <selection activeCell="A6" sqref="A6"/>
    </sheetView>
  </sheetViews>
  <sheetFormatPr baseColWidth="10" defaultRowHeight="15" x14ac:dyDescent="0.25"/>
  <cols>
    <col min="1" max="1" width="19.5703125" customWidth="1"/>
    <col min="2" max="2" width="16.42578125" customWidth="1"/>
    <col min="3" max="3" width="34" customWidth="1"/>
  </cols>
  <sheetData>
    <row r="1" spans="1:3" x14ac:dyDescent="0.25">
      <c r="A1" s="3" t="s">
        <v>19</v>
      </c>
      <c r="B1" s="3" t="s">
        <v>0</v>
      </c>
      <c r="C1" s="3" t="s">
        <v>1</v>
      </c>
    </row>
    <row r="2" spans="1:3" x14ac:dyDescent="0.25">
      <c r="A2" s="4">
        <v>1</v>
      </c>
      <c r="B2" s="4" t="s">
        <v>2</v>
      </c>
      <c r="C2" s="4" t="s">
        <v>3</v>
      </c>
    </row>
    <row r="3" spans="1:3" x14ac:dyDescent="0.25">
      <c r="A3" s="4">
        <v>2</v>
      </c>
      <c r="B3" s="4" t="s">
        <v>4</v>
      </c>
      <c r="C3" s="4" t="s">
        <v>5</v>
      </c>
    </row>
    <row r="4" spans="1:3" ht="18.75" customHeight="1" x14ac:dyDescent="0.25">
      <c r="A4" s="4">
        <v>3</v>
      </c>
      <c r="B4" s="4" t="s">
        <v>6</v>
      </c>
      <c r="C4" s="4" t="s">
        <v>7</v>
      </c>
    </row>
    <row r="5" spans="1:3" x14ac:dyDescent="0.25">
      <c r="A5" s="4">
        <v>4</v>
      </c>
      <c r="B5" s="4" t="s">
        <v>8</v>
      </c>
      <c r="C5" s="4" t="s">
        <v>9</v>
      </c>
    </row>
    <row r="6" spans="1:3" x14ac:dyDescent="0.25">
      <c r="A6" s="4">
        <v>5</v>
      </c>
      <c r="B6" s="4" t="s">
        <v>10</v>
      </c>
      <c r="C6" s="4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6330-3AE8-412B-A51B-D5112A3ACC68}">
  <dimension ref="A1:F14"/>
  <sheetViews>
    <sheetView zoomScaleNormal="100" workbookViewId="0">
      <selection activeCell="A9" sqref="A9"/>
    </sheetView>
  </sheetViews>
  <sheetFormatPr baseColWidth="10" defaultRowHeight="15" x14ac:dyDescent="0.25"/>
  <cols>
    <col min="1" max="1" width="14.140625" customWidth="1"/>
    <col min="2" max="2" width="13.140625" customWidth="1"/>
    <col min="3" max="3" width="20.5703125" customWidth="1"/>
    <col min="4" max="4" width="25.7109375" customWidth="1"/>
  </cols>
  <sheetData>
    <row r="1" spans="1:6" x14ac:dyDescent="0.25">
      <c r="A1" s="3" t="s">
        <v>20</v>
      </c>
      <c r="B1" s="3" t="s">
        <v>0</v>
      </c>
      <c r="C1" s="3" t="s">
        <v>19</v>
      </c>
      <c r="D1" s="14" t="s">
        <v>136</v>
      </c>
    </row>
    <row r="2" spans="1:6" x14ac:dyDescent="0.25">
      <c r="A2" s="4">
        <v>57</v>
      </c>
      <c r="B2" s="4" t="s">
        <v>12</v>
      </c>
      <c r="C2" s="4">
        <v>1</v>
      </c>
      <c r="D2" s="15" t="str">
        <f>VLOOKUP(C2, Continentes!A:B, 2, 0)</f>
        <v>América</v>
      </c>
    </row>
    <row r="3" spans="1:6" x14ac:dyDescent="0.25">
      <c r="A3" s="4">
        <v>34</v>
      </c>
      <c r="B3" s="4" t="s">
        <v>13</v>
      </c>
      <c r="C3" s="4">
        <v>2</v>
      </c>
      <c r="D3" s="15" t="str">
        <f>VLOOKUP(C3, Continentes!A:B, 2, 0)</f>
        <v>Europa</v>
      </c>
    </row>
    <row r="4" spans="1:6" x14ac:dyDescent="0.25">
      <c r="A4" s="4">
        <v>52</v>
      </c>
      <c r="B4" s="4" t="s">
        <v>14</v>
      </c>
      <c r="C4" s="4">
        <v>1</v>
      </c>
      <c r="D4" s="15" t="str">
        <f>VLOOKUP(C4, Continentes!A:B, 2, 0)</f>
        <v>América</v>
      </c>
    </row>
    <row r="5" spans="1:6" x14ac:dyDescent="0.25">
      <c r="A5" s="4">
        <v>54</v>
      </c>
      <c r="B5" s="4" t="s">
        <v>15</v>
      </c>
      <c r="C5" s="4">
        <v>1</v>
      </c>
      <c r="D5" s="15" t="str">
        <f>VLOOKUP(C5, Continentes!A:B, 2, 0)</f>
        <v>América</v>
      </c>
    </row>
    <row r="6" spans="1:6" x14ac:dyDescent="0.25">
      <c r="A6" s="4">
        <v>33</v>
      </c>
      <c r="B6" s="4" t="s">
        <v>16</v>
      </c>
      <c r="C6" s="4">
        <v>2</v>
      </c>
      <c r="D6" s="15" t="str">
        <f>VLOOKUP(C6, Continentes!A:B, 2, 0)</f>
        <v>Europa</v>
      </c>
    </row>
    <row r="7" spans="1:6" x14ac:dyDescent="0.25">
      <c r="A7" s="4">
        <v>81</v>
      </c>
      <c r="B7" s="4" t="s">
        <v>17</v>
      </c>
      <c r="C7" s="4">
        <v>3</v>
      </c>
      <c r="D7" s="15" t="str">
        <f>VLOOKUP(C7, Continentes!A:B, 2, 0)</f>
        <v>Asia</v>
      </c>
    </row>
    <row r="8" spans="1:6" x14ac:dyDescent="0.25">
      <c r="A8" s="4">
        <v>20</v>
      </c>
      <c r="B8" s="4" t="s">
        <v>18</v>
      </c>
      <c r="C8" s="4">
        <v>4</v>
      </c>
      <c r="D8" s="15" t="str">
        <f>VLOOKUP(C8, Continentes!A:B, 2, 0)</f>
        <v>África</v>
      </c>
    </row>
    <row r="9" spans="1:6" x14ac:dyDescent="0.25">
      <c r="C9" s="5"/>
      <c r="D9" s="5"/>
      <c r="E9" s="5"/>
      <c r="F9" s="6"/>
    </row>
    <row r="10" spans="1:6" x14ac:dyDescent="0.25">
      <c r="C10" s="5"/>
      <c r="D10" s="7"/>
      <c r="E10" s="7"/>
      <c r="F10" s="8"/>
    </row>
    <row r="11" spans="1:6" x14ac:dyDescent="0.25">
      <c r="C11" s="5"/>
      <c r="D11" s="7"/>
      <c r="E11" s="7"/>
      <c r="F11" s="8"/>
    </row>
    <row r="14" spans="1:6" x14ac:dyDescent="0.25">
      <c r="C14" s="5"/>
      <c r="D14" s="7"/>
      <c r="E14" s="7"/>
      <c r="F14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A023-986B-4BB9-8F66-4C844E0CE3EF}">
  <dimension ref="A1:E11"/>
  <sheetViews>
    <sheetView workbookViewId="0">
      <selection activeCell="C2" sqref="C2"/>
    </sheetView>
  </sheetViews>
  <sheetFormatPr baseColWidth="10" defaultRowHeight="15" x14ac:dyDescent="0.25"/>
  <cols>
    <col min="1" max="1" width="18.28515625" style="9" customWidth="1"/>
    <col min="2" max="2" width="22.140625" style="9" customWidth="1"/>
    <col min="3" max="3" width="35.140625" style="9" customWidth="1"/>
    <col min="4" max="4" width="15.28515625" style="9" customWidth="1"/>
    <col min="5" max="5" width="18.7109375" style="9" customWidth="1"/>
    <col min="6" max="16384" width="11.42578125" style="9"/>
  </cols>
  <sheetData>
    <row r="1" spans="1:5" x14ac:dyDescent="0.25">
      <c r="A1" s="3" t="s">
        <v>37</v>
      </c>
      <c r="B1" s="3" t="s">
        <v>0</v>
      </c>
      <c r="C1" s="3" t="s">
        <v>64</v>
      </c>
      <c r="D1" s="3" t="s">
        <v>20</v>
      </c>
      <c r="E1" s="16" t="s">
        <v>137</v>
      </c>
    </row>
    <row r="2" spans="1:5" s="17" customFormat="1" x14ac:dyDescent="0.25">
      <c r="A2" s="4">
        <v>5</v>
      </c>
      <c r="B2" s="4" t="s">
        <v>139</v>
      </c>
      <c r="C2" s="4"/>
      <c r="D2" s="4">
        <v>57</v>
      </c>
      <c r="E2" s="15" t="str">
        <f>VLOOKUP(D3, Paises!A:B, 2, 0)</f>
        <v>Colombia</v>
      </c>
    </row>
    <row r="3" spans="1:5" x14ac:dyDescent="0.25">
      <c r="A3" s="4">
        <v>41</v>
      </c>
      <c r="B3" s="4" t="s">
        <v>40</v>
      </c>
      <c r="C3" s="4" t="s">
        <v>41</v>
      </c>
      <c r="D3" s="4">
        <v>57</v>
      </c>
      <c r="E3" s="15" t="str">
        <f>VLOOKUP(D3, Paises!A:B, 2, 0)</f>
        <v>Colombia</v>
      </c>
    </row>
    <row r="4" spans="1:5" x14ac:dyDescent="0.25">
      <c r="A4" s="4">
        <v>11</v>
      </c>
      <c r="B4" s="4" t="s">
        <v>21</v>
      </c>
      <c r="C4" s="4" t="s">
        <v>22</v>
      </c>
      <c r="D4" s="4">
        <v>57</v>
      </c>
      <c r="E4" s="15" t="str">
        <f>VLOOKUP(D4, Paises!A:B, 2, 0)</f>
        <v>Colombia</v>
      </c>
    </row>
    <row r="5" spans="1:5" x14ac:dyDescent="0.25">
      <c r="A5" s="4" t="s">
        <v>38</v>
      </c>
      <c r="B5" s="4" t="s">
        <v>23</v>
      </c>
      <c r="C5" s="4" t="s">
        <v>24</v>
      </c>
      <c r="D5" s="4">
        <v>57</v>
      </c>
      <c r="E5" s="15" t="str">
        <f>VLOOKUP(D5, Paises!A:B, 2, 0)</f>
        <v>Colombia</v>
      </c>
    </row>
    <row r="6" spans="1:5" x14ac:dyDescent="0.25">
      <c r="A6" s="4">
        <v>28</v>
      </c>
      <c r="B6" s="4" t="s">
        <v>25</v>
      </c>
      <c r="C6" s="4" t="s">
        <v>26</v>
      </c>
      <c r="D6" s="4">
        <v>34</v>
      </c>
      <c r="E6" s="15" t="str">
        <f>VLOOKUP(D6, Paises!A:B, 2, 0)</f>
        <v>España</v>
      </c>
    </row>
    <row r="7" spans="1:5" x14ac:dyDescent="0.25">
      <c r="A7" s="4" t="s">
        <v>65</v>
      </c>
      <c r="B7" s="4" t="s">
        <v>27</v>
      </c>
      <c r="C7" s="4" t="s">
        <v>28</v>
      </c>
      <c r="D7" s="4">
        <v>34</v>
      </c>
      <c r="E7" s="15" t="str">
        <f>VLOOKUP(D7, Paises!A:B, 2, 0)</f>
        <v>España</v>
      </c>
    </row>
    <row r="8" spans="1:5" x14ac:dyDescent="0.25">
      <c r="A8" s="4" t="s">
        <v>39</v>
      </c>
      <c r="B8" s="4" t="s">
        <v>29</v>
      </c>
      <c r="C8" s="4" t="s">
        <v>30</v>
      </c>
      <c r="D8" s="4">
        <v>52</v>
      </c>
      <c r="E8" s="15" t="str">
        <f>VLOOKUP(D8, Paises!A:B, 2, 0)</f>
        <v>México</v>
      </c>
    </row>
    <row r="9" spans="1:5" x14ac:dyDescent="0.25">
      <c r="A9" s="4">
        <v>14</v>
      </c>
      <c r="B9" s="4" t="s">
        <v>31</v>
      </c>
      <c r="C9" s="4" t="s">
        <v>32</v>
      </c>
      <c r="D9" s="4">
        <v>52</v>
      </c>
      <c r="E9" s="15" t="str">
        <f>VLOOKUP(D9, Paises!A:B, 2, 0)</f>
        <v>México</v>
      </c>
    </row>
    <row r="10" spans="1:5" x14ac:dyDescent="0.25">
      <c r="A10" s="4">
        <v>13</v>
      </c>
      <c r="B10" s="4" t="s">
        <v>33</v>
      </c>
      <c r="C10" s="4" t="s">
        <v>34</v>
      </c>
      <c r="D10" s="4">
        <v>81</v>
      </c>
      <c r="E10" s="15" t="str">
        <f>VLOOKUP(D10, Paises!A:B, 2, 0)</f>
        <v>Japón</v>
      </c>
    </row>
    <row r="11" spans="1:5" x14ac:dyDescent="0.25">
      <c r="A11" s="4">
        <v>27</v>
      </c>
      <c r="B11" s="4" t="s">
        <v>35</v>
      </c>
      <c r="C11" s="4" t="s">
        <v>36</v>
      </c>
      <c r="D11" s="4">
        <v>81</v>
      </c>
      <c r="E11" s="15" t="str">
        <f>VLOOKUP(D11, Paises!A:B, 2, 0)</f>
        <v>Japón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4C69-3F66-4043-AF37-D94E8A3C112E}">
  <dimension ref="A1:E12"/>
  <sheetViews>
    <sheetView workbookViewId="0">
      <selection activeCell="A13" sqref="A13:XFD13"/>
    </sheetView>
  </sheetViews>
  <sheetFormatPr baseColWidth="10" defaultRowHeight="15" x14ac:dyDescent="0.25"/>
  <cols>
    <col min="1" max="1" width="17.140625" style="9" customWidth="1"/>
    <col min="2" max="2" width="22" style="9" customWidth="1"/>
    <col min="3" max="3" width="32.140625" style="9" customWidth="1"/>
    <col min="4" max="4" width="19.42578125" style="10" customWidth="1"/>
    <col min="5" max="5" width="23.42578125" style="9" customWidth="1"/>
    <col min="6" max="16384" width="11.42578125" style="9"/>
  </cols>
  <sheetData>
    <row r="1" spans="1:5" x14ac:dyDescent="0.25">
      <c r="A1" s="3" t="s">
        <v>62</v>
      </c>
      <c r="B1" s="3" t="s">
        <v>0</v>
      </c>
      <c r="C1" s="3" t="s">
        <v>64</v>
      </c>
      <c r="D1" s="11" t="s">
        <v>63</v>
      </c>
      <c r="E1" s="16" t="s">
        <v>138</v>
      </c>
    </row>
    <row r="2" spans="1:5" x14ac:dyDescent="0.25">
      <c r="A2" s="4">
        <v>41001</v>
      </c>
      <c r="B2" s="4" t="s">
        <v>60</v>
      </c>
      <c r="C2" s="4" t="s">
        <v>61</v>
      </c>
      <c r="D2" s="12">
        <v>41</v>
      </c>
      <c r="E2" s="15" t="str">
        <f>VLOOKUP(D2, Departamentos!A:B, 2, 0)</f>
        <v>Huila</v>
      </c>
    </row>
    <row r="3" spans="1:5" x14ac:dyDescent="0.25">
      <c r="A3" s="4">
        <v>5001</v>
      </c>
      <c r="B3" s="4" t="s">
        <v>42</v>
      </c>
      <c r="C3" s="4" t="s">
        <v>43</v>
      </c>
      <c r="D3" s="12">
        <v>5</v>
      </c>
      <c r="E3" s="15" t="str">
        <f>VLOOKUP(D3, Departamentos!A:B, 2, 0)</f>
        <v>Antioquia</v>
      </c>
    </row>
    <row r="4" spans="1:5" x14ac:dyDescent="0.25">
      <c r="A4" s="4">
        <v>5002</v>
      </c>
      <c r="B4" s="4" t="s">
        <v>44</v>
      </c>
      <c r="C4" s="4" t="s">
        <v>45</v>
      </c>
      <c r="D4" s="12">
        <v>5</v>
      </c>
      <c r="E4" s="15" t="str">
        <f>VLOOKUP(D4, Departamentos!A:B, 2, 0)</f>
        <v>Antioquia</v>
      </c>
    </row>
    <row r="5" spans="1:5" x14ac:dyDescent="0.25">
      <c r="A5" s="4">
        <v>11001</v>
      </c>
      <c r="B5" s="4" t="s">
        <v>46</v>
      </c>
      <c r="C5" s="4" t="s">
        <v>47</v>
      </c>
      <c r="D5" s="12">
        <v>11</v>
      </c>
      <c r="E5" s="15" t="str">
        <f>VLOOKUP(D5, Departamentos!A:B, 2, 0)</f>
        <v>Bogotá D.C.</v>
      </c>
    </row>
    <row r="6" spans="1:5" x14ac:dyDescent="0.25">
      <c r="A6" s="4">
        <v>8001</v>
      </c>
      <c r="B6" s="4" t="s">
        <v>48</v>
      </c>
      <c r="C6" s="4" t="s">
        <v>49</v>
      </c>
      <c r="D6" s="12" t="s">
        <v>38</v>
      </c>
      <c r="E6" s="15" t="str">
        <f>VLOOKUP(D6, Departamentos!A:B, 2, 0)</f>
        <v>Atlántico</v>
      </c>
    </row>
    <row r="7" spans="1:5" x14ac:dyDescent="0.25">
      <c r="A7" s="4">
        <v>28001</v>
      </c>
      <c r="B7" s="4" t="s">
        <v>25</v>
      </c>
      <c r="C7" s="4" t="s">
        <v>50</v>
      </c>
      <c r="D7" s="12">
        <v>28</v>
      </c>
      <c r="E7" s="15" t="str">
        <f>VLOOKUP(D7, Departamentos!A:B, 2, 0)</f>
        <v>Madrid</v>
      </c>
    </row>
    <row r="8" spans="1:5" x14ac:dyDescent="0.25">
      <c r="A8" s="4">
        <v>9001</v>
      </c>
      <c r="B8" s="4" t="s">
        <v>29</v>
      </c>
      <c r="C8" s="4" t="s">
        <v>51</v>
      </c>
      <c r="D8" s="12" t="s">
        <v>39</v>
      </c>
      <c r="E8" s="15" t="str">
        <f>VLOOKUP(D8, Departamentos!A:B, 2, 0)</f>
        <v>Ciudad de México</v>
      </c>
    </row>
    <row r="9" spans="1:5" x14ac:dyDescent="0.25">
      <c r="A9" s="4">
        <v>14001</v>
      </c>
      <c r="B9" s="4" t="s">
        <v>52</v>
      </c>
      <c r="C9" s="4" t="s">
        <v>53</v>
      </c>
      <c r="D9" s="12">
        <v>14</v>
      </c>
      <c r="E9" s="15" t="str">
        <f>VLOOKUP(D9, Departamentos!A:B, 2, 0)</f>
        <v>Jalisco</v>
      </c>
    </row>
    <row r="10" spans="1:5" x14ac:dyDescent="0.25">
      <c r="A10" s="4">
        <v>13001</v>
      </c>
      <c r="B10" s="4" t="s">
        <v>54</v>
      </c>
      <c r="C10" s="4" t="s">
        <v>55</v>
      </c>
      <c r="D10" s="12">
        <v>13</v>
      </c>
      <c r="E10" s="15" t="str">
        <f>VLOOKUP(D10, Departamentos!A:B, 2, 0)</f>
        <v>Tokio</v>
      </c>
    </row>
    <row r="11" spans="1:5" x14ac:dyDescent="0.25">
      <c r="A11" s="4">
        <v>13002</v>
      </c>
      <c r="B11" s="4" t="s">
        <v>56</v>
      </c>
      <c r="C11" s="4" t="s">
        <v>57</v>
      </c>
      <c r="D11" s="12">
        <v>13</v>
      </c>
      <c r="E11" s="15" t="str">
        <f>VLOOKUP(D11, Departamentos!A:B, 2, 0)</f>
        <v>Tokio</v>
      </c>
    </row>
    <row r="12" spans="1:5" x14ac:dyDescent="0.25">
      <c r="A12" s="4">
        <v>27001</v>
      </c>
      <c r="B12" s="4" t="s">
        <v>35</v>
      </c>
      <c r="C12" s="4" t="s">
        <v>58</v>
      </c>
      <c r="D12" s="12">
        <v>27</v>
      </c>
      <c r="E12" s="15" t="str">
        <f>VLOOKUP(D12, Departamentos!A:B, 2, 0)</f>
        <v>Osaka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F2B6-4071-4485-B9DF-B0DEF3FBE719}">
  <dimension ref="A1:E6"/>
  <sheetViews>
    <sheetView workbookViewId="0">
      <selection activeCell="E1" sqref="E1"/>
    </sheetView>
  </sheetViews>
  <sheetFormatPr baseColWidth="10" defaultRowHeight="15" x14ac:dyDescent="0.25"/>
  <cols>
    <col min="1" max="1" width="11.42578125" style="9"/>
    <col min="2" max="2" width="18.42578125" style="9" customWidth="1"/>
    <col min="3" max="3" width="28.85546875" style="9" customWidth="1"/>
    <col min="4" max="4" width="20.42578125" style="9" customWidth="1"/>
    <col min="5" max="5" width="20.7109375" style="9" customWidth="1"/>
    <col min="6" max="16384" width="11.42578125" style="9"/>
  </cols>
  <sheetData>
    <row r="1" spans="1:5" x14ac:dyDescent="0.25">
      <c r="A1" s="3" t="s">
        <v>76</v>
      </c>
      <c r="B1" s="3" t="s">
        <v>0</v>
      </c>
      <c r="C1" s="3" t="s">
        <v>64</v>
      </c>
      <c r="D1" s="3" t="s">
        <v>59</v>
      </c>
      <c r="E1" s="16" t="s">
        <v>134</v>
      </c>
    </row>
    <row r="2" spans="1:5" x14ac:dyDescent="0.25">
      <c r="A2" s="4">
        <v>901</v>
      </c>
      <c r="B2" s="4" t="s">
        <v>66</v>
      </c>
      <c r="C2" s="4" t="s">
        <v>67</v>
      </c>
      <c r="D2" s="4">
        <v>5001</v>
      </c>
      <c r="E2" s="15" t="str">
        <f>VLOOKUP(D2, Municipios!A:B, 2, 0)</f>
        <v>Medellín</v>
      </c>
    </row>
    <row r="3" spans="1:5" x14ac:dyDescent="0.25">
      <c r="A3" s="4">
        <v>902</v>
      </c>
      <c r="B3" s="4" t="s">
        <v>68</v>
      </c>
      <c r="C3" s="4" t="s">
        <v>69</v>
      </c>
      <c r="D3" s="4">
        <v>41001</v>
      </c>
      <c r="E3" s="15" t="str">
        <f>VLOOKUP(D3, Municipios!A:B, 2, 0)</f>
        <v>Neiva</v>
      </c>
    </row>
    <row r="4" spans="1:5" x14ac:dyDescent="0.25">
      <c r="A4" s="4">
        <v>903</v>
      </c>
      <c r="B4" s="4" t="s">
        <v>70</v>
      </c>
      <c r="C4" s="4" t="s">
        <v>71</v>
      </c>
      <c r="D4" s="4">
        <v>28001</v>
      </c>
      <c r="E4" s="15" t="str">
        <f>VLOOKUP(D4, Municipios!A:B, 2, 0)</f>
        <v>Madrid</v>
      </c>
    </row>
    <row r="5" spans="1:5" x14ac:dyDescent="0.25">
      <c r="A5" s="4">
        <v>904</v>
      </c>
      <c r="B5" s="4" t="s">
        <v>72</v>
      </c>
      <c r="C5" s="4" t="s">
        <v>73</v>
      </c>
      <c r="D5" s="4">
        <v>13001</v>
      </c>
      <c r="E5" s="15" t="str">
        <f>VLOOKUP(D5, Municipios!A:B, 2, 0)</f>
        <v>Shinjuku</v>
      </c>
    </row>
    <row r="6" spans="1:5" x14ac:dyDescent="0.25">
      <c r="A6" s="4">
        <v>905</v>
      </c>
      <c r="B6" s="4" t="s">
        <v>74</v>
      </c>
      <c r="C6" s="4" t="s">
        <v>75</v>
      </c>
      <c r="D6" s="4">
        <v>11001</v>
      </c>
      <c r="E6" s="15" t="str">
        <f>VLOOKUP(D6, Municipios!A:B, 2, 0)</f>
        <v>Bogotá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722F-F2E0-4CE4-83EB-D8293B9A2BB1}">
  <dimension ref="A1:D16"/>
  <sheetViews>
    <sheetView workbookViewId="0">
      <selection activeCell="A5" sqref="A5"/>
    </sheetView>
  </sheetViews>
  <sheetFormatPr baseColWidth="10" defaultRowHeight="15" x14ac:dyDescent="0.25"/>
  <cols>
    <col min="1" max="1" width="17.42578125" style="9" customWidth="1"/>
    <col min="2" max="2" width="24.140625" style="9" customWidth="1"/>
    <col min="3" max="3" width="16" style="9" customWidth="1"/>
    <col min="4" max="4" width="35.5703125" style="9" customWidth="1"/>
    <col min="5" max="16384" width="11.42578125" style="9"/>
  </cols>
  <sheetData>
    <row r="1" spans="1:4" ht="15.75" thickBot="1" x14ac:dyDescent="0.3">
      <c r="A1" s="1" t="s">
        <v>122</v>
      </c>
      <c r="B1" s="1" t="s">
        <v>0</v>
      </c>
      <c r="C1" s="1" t="s">
        <v>123</v>
      </c>
      <c r="D1" s="1" t="s">
        <v>64</v>
      </c>
    </row>
    <row r="2" spans="1:4" ht="15.75" thickBot="1" x14ac:dyDescent="0.3">
      <c r="A2" s="2" t="s">
        <v>77</v>
      </c>
      <c r="B2" s="2" t="s">
        <v>78</v>
      </c>
      <c r="C2" s="13">
        <v>3500000</v>
      </c>
      <c r="D2" s="2" t="s">
        <v>79</v>
      </c>
    </row>
    <row r="3" spans="1:4" ht="15.75" thickBot="1" x14ac:dyDescent="0.3">
      <c r="A3" s="2" t="s">
        <v>80</v>
      </c>
      <c r="B3" s="2" t="s">
        <v>81</v>
      </c>
      <c r="C3" s="13">
        <v>1800000</v>
      </c>
      <c r="D3" s="2" t="s">
        <v>82</v>
      </c>
    </row>
    <row r="4" spans="1:4" ht="15.75" thickBot="1" x14ac:dyDescent="0.3">
      <c r="A4" s="2" t="s">
        <v>83</v>
      </c>
      <c r="B4" s="2" t="s">
        <v>84</v>
      </c>
      <c r="C4" s="13">
        <v>2200000</v>
      </c>
      <c r="D4" s="2" t="s">
        <v>85</v>
      </c>
    </row>
    <row r="5" spans="1:4" ht="15.75" thickBot="1" x14ac:dyDescent="0.3">
      <c r="A5" s="2" t="s">
        <v>86</v>
      </c>
      <c r="B5" s="2" t="s">
        <v>87</v>
      </c>
      <c r="C5" s="13">
        <v>1500000</v>
      </c>
      <c r="D5" s="2" t="s">
        <v>88</v>
      </c>
    </row>
    <row r="6" spans="1:4" ht="15.75" thickBot="1" x14ac:dyDescent="0.3">
      <c r="A6" s="2" t="s">
        <v>89</v>
      </c>
      <c r="B6" s="2" t="s">
        <v>90</v>
      </c>
      <c r="C6" s="13">
        <v>450000</v>
      </c>
      <c r="D6" s="2" t="s">
        <v>91</v>
      </c>
    </row>
    <row r="7" spans="1:4" ht="15.75" thickBot="1" x14ac:dyDescent="0.3">
      <c r="A7" s="2" t="s">
        <v>92</v>
      </c>
      <c r="B7" s="2" t="s">
        <v>93</v>
      </c>
      <c r="C7" s="13">
        <v>950000</v>
      </c>
      <c r="D7" s="2" t="s">
        <v>94</v>
      </c>
    </row>
    <row r="8" spans="1:4" ht="15.75" thickBot="1" x14ac:dyDescent="0.3">
      <c r="A8" s="2" t="s">
        <v>95</v>
      </c>
      <c r="B8" s="2" t="s">
        <v>96</v>
      </c>
      <c r="C8" s="13">
        <v>1200000</v>
      </c>
      <c r="D8" s="2" t="s">
        <v>97</v>
      </c>
    </row>
    <row r="9" spans="1:4" ht="15.75" thickBot="1" x14ac:dyDescent="0.3">
      <c r="A9" s="2" t="s">
        <v>98</v>
      </c>
      <c r="B9" s="2" t="s">
        <v>99</v>
      </c>
      <c r="C9" s="13">
        <v>320000</v>
      </c>
      <c r="D9" s="2" t="s">
        <v>100</v>
      </c>
    </row>
    <row r="10" spans="1:4" ht="15.75" thickBot="1" x14ac:dyDescent="0.3">
      <c r="A10" s="2" t="s">
        <v>101</v>
      </c>
      <c r="B10" s="2" t="s">
        <v>102</v>
      </c>
      <c r="C10" s="13">
        <v>280000</v>
      </c>
      <c r="D10" s="2" t="s">
        <v>103</v>
      </c>
    </row>
    <row r="11" spans="1:4" ht="15.75" thickBot="1" x14ac:dyDescent="0.3">
      <c r="A11" s="2" t="s">
        <v>104</v>
      </c>
      <c r="B11" s="2" t="s">
        <v>105</v>
      </c>
      <c r="C11" s="13">
        <v>600000</v>
      </c>
      <c r="D11" s="2" t="s">
        <v>106</v>
      </c>
    </row>
    <row r="12" spans="1:4" ht="15.75" thickBot="1" x14ac:dyDescent="0.3">
      <c r="A12" s="2" t="s">
        <v>107</v>
      </c>
      <c r="B12" s="2" t="s">
        <v>108</v>
      </c>
      <c r="C12" s="13">
        <v>1400000</v>
      </c>
      <c r="D12" s="2" t="s">
        <v>109</v>
      </c>
    </row>
    <row r="13" spans="1:4" ht="15.75" thickBot="1" x14ac:dyDescent="0.3">
      <c r="A13" s="2" t="s">
        <v>110</v>
      </c>
      <c r="B13" s="2" t="s">
        <v>111</v>
      </c>
      <c r="C13" s="13">
        <v>250000</v>
      </c>
      <c r="D13" s="2" t="s">
        <v>112</v>
      </c>
    </row>
    <row r="14" spans="1:4" ht="15.75" thickBot="1" x14ac:dyDescent="0.3">
      <c r="A14" s="2" t="s">
        <v>113</v>
      </c>
      <c r="B14" s="2" t="s">
        <v>114</v>
      </c>
      <c r="C14" s="13">
        <v>45000</v>
      </c>
      <c r="D14" s="2" t="s">
        <v>115</v>
      </c>
    </row>
    <row r="15" spans="1:4" ht="15.75" thickBot="1" x14ac:dyDescent="0.3">
      <c r="A15" s="2" t="s">
        <v>116</v>
      </c>
      <c r="B15" s="2" t="s">
        <v>117</v>
      </c>
      <c r="C15" s="13">
        <v>38000</v>
      </c>
      <c r="D15" s="2" t="s">
        <v>118</v>
      </c>
    </row>
    <row r="16" spans="1:4" ht="15.75" thickBot="1" x14ac:dyDescent="0.3">
      <c r="A16" s="2" t="s">
        <v>119</v>
      </c>
      <c r="B16" s="2" t="s">
        <v>120</v>
      </c>
      <c r="C16" s="13">
        <v>25000</v>
      </c>
      <c r="D16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Pedidos</vt:lpstr>
      <vt:lpstr>Continentes</vt:lpstr>
      <vt:lpstr>Paises</vt:lpstr>
      <vt:lpstr>Departamentos</vt:lpstr>
      <vt:lpstr>Municipios</vt:lpstr>
      <vt:lpstr>Barrio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MARTINEZ</dc:creator>
  <cp:lastModifiedBy>ANA MARTINEZ</cp:lastModifiedBy>
  <dcterms:created xsi:type="dcterms:W3CDTF">2026-02-28T22:20:41Z</dcterms:created>
  <dcterms:modified xsi:type="dcterms:W3CDTF">2026-03-01T01:29:19Z</dcterms:modified>
</cp:coreProperties>
</file>